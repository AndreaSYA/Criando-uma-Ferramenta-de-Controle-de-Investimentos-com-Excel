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uri\Downloads\"/>
    </mc:Choice>
  </mc:AlternateContent>
  <xr:revisionPtr revIDLastSave="0" documentId="8_{6BA55ED6-F0D2-4C75-B4F9-5A2381CD037C}" xr6:coauthVersionLast="47" xr6:coauthVersionMax="47" xr10:uidLastSave="{00000000-0000-0000-0000-000000000000}"/>
  <bookViews>
    <workbookView xWindow="-120" yWindow="-120" windowWidth="29040" windowHeight="15720" xr2:uid="{D70141F6-0BF7-4D60-81BF-A130B37A9B75}"/>
  </bookViews>
  <sheets>
    <sheet name="INVEST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H4" i="2"/>
  <c r="A20" i="2"/>
  <c r="A19" i="2"/>
  <c r="A18" i="2"/>
  <c r="A17" i="2"/>
  <c r="A16" i="2"/>
  <c r="A15" i="2"/>
  <c r="A14" i="2"/>
  <c r="A13" i="2"/>
  <c r="A12" i="2"/>
  <c r="A11" i="2"/>
  <c r="A10" i="2"/>
  <c r="A9" i="2"/>
  <c r="A4" i="2"/>
  <c r="A5" i="2"/>
  <c r="A6" i="2"/>
  <c r="A7" i="2"/>
  <c r="A8" i="2"/>
  <c r="A3" i="2"/>
  <c r="C33" i="1"/>
  <c r="D14" i="1"/>
  <c r="C25" i="1"/>
  <c r="D25" i="1" s="1"/>
  <c r="C26" i="1"/>
  <c r="D26" i="1" s="1"/>
  <c r="C27" i="1"/>
  <c r="D27" i="1" s="1"/>
  <c r="C28" i="1"/>
  <c r="D28" i="1" s="1"/>
  <c r="C24" i="1"/>
  <c r="D24" i="1" s="1"/>
  <c r="D20" i="1"/>
  <c r="D21" i="1" s="1"/>
  <c r="D37" i="1" l="1"/>
  <c r="D42" i="1" s="1"/>
  <c r="D41" i="1"/>
  <c r="D38" i="1"/>
  <c r="D39" i="1"/>
  <c r="D36" i="1"/>
  <c r="D40" i="1"/>
</calcChain>
</file>

<file path=xl/sharedStrings.xml><?xml version="1.0" encoding="utf-8"?>
<sst xmlns="http://schemas.openxmlformats.org/spreadsheetml/2006/main" count="71" uniqueCount="34">
  <si>
    <t>Quanto investir por mes?</t>
  </si>
  <si>
    <t>Por Quantos Anos?</t>
  </si>
  <si>
    <t>Taxa de Rendimiento mensal?</t>
  </si>
  <si>
    <t>Patrimonio Acumulado?</t>
  </si>
  <si>
    <t>Dividendos Mensais?</t>
  </si>
  <si>
    <t>INVESTIMENTO MENSAL</t>
  </si>
  <si>
    <t>Quanto em 2 Anos?</t>
  </si>
  <si>
    <t>Quanto em 5 Anos?</t>
  </si>
  <si>
    <t>Quanto em 10  Anos?</t>
  </si>
  <si>
    <t>Quanto em 20 Anos?</t>
  </si>
  <si>
    <t>Quanto em 30  Anos?</t>
  </si>
  <si>
    <t>Cenarios</t>
  </si>
  <si>
    <t>Dividendo</t>
  </si>
  <si>
    <t xml:space="preserve">Rendimento Carteira </t>
  </si>
  <si>
    <t xml:space="preserve">Salario </t>
  </si>
  <si>
    <t>CONFIGURACOES</t>
  </si>
  <si>
    <t>AGRESSIVO</t>
  </si>
  <si>
    <t>CONSERVADOR</t>
  </si>
  <si>
    <t>MODERADO</t>
  </si>
  <si>
    <t>VALOR A SER INVESTIDO POR MES</t>
  </si>
  <si>
    <t>PERFIL</t>
  </si>
  <si>
    <t>TIPO DE FII</t>
  </si>
  <si>
    <t>Percentual Sugerido</t>
  </si>
  <si>
    <t>Valores</t>
  </si>
  <si>
    <t>PAPEL</t>
  </si>
  <si>
    <t>TIOJOLO</t>
  </si>
  <si>
    <t>HIBRIDOS</t>
  </si>
  <si>
    <t>FOFs</t>
  </si>
  <si>
    <t>DESENVOLVIMENTO</t>
  </si>
  <si>
    <t>HOTELARIAS</t>
  </si>
  <si>
    <t>%</t>
  </si>
  <si>
    <t xml:space="preserve">chave </t>
  </si>
  <si>
    <t>MODERADO-TIOJOLO</t>
  </si>
  <si>
    <t>Sugestao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</si>
</sst>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[$R$-416]\ #,##0.00"/>
  </numFmts>
  <fonts count="1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2"/>
      <name val="Aptos Narrow"/>
      <family val="2"/>
      <scheme val="minor"/>
    </font>
    <font>
      <b/>
      <sz val="18"/>
      <color theme="0" tint="-0.1499984740745262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Sagona Book"/>
      <family val="1"/>
    </font>
    <font>
      <sz val="12"/>
      <color rgb="FF000000"/>
      <name val="Sagona Book"/>
      <family val="1"/>
    </font>
    <font>
      <b/>
      <sz val="12"/>
      <color rgb="FF000000"/>
      <name val="Sagona Book"/>
      <family val="1"/>
    </font>
    <font>
      <sz val="11"/>
      <color theme="5" tint="-0.499984740745262"/>
      <name val="Aptos Narrow"/>
      <family val="2"/>
      <scheme val="minor"/>
    </font>
    <font>
      <b/>
      <sz val="18"/>
      <color theme="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AB6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0" tint="-0.1499679555650502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0" tint="-0.1499679555650502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0" tint="-0.1499679555650502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hair">
        <color theme="0" tint="-0.149967955565050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173" fontId="2" fillId="0" borderId="17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0" fontId="2" fillId="0" borderId="13" xfId="0" applyNumberFormat="1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173" fontId="0" fillId="0" borderId="15" xfId="0" applyNumberFormat="1" applyBorder="1" applyAlignment="1">
      <alignment horizontal="center"/>
    </xf>
    <xf numFmtId="173" fontId="0" fillId="4" borderId="7" xfId="0" applyNumberFormat="1" applyFill="1" applyBorder="1" applyAlignment="1">
      <alignment horizontal="center"/>
    </xf>
    <xf numFmtId="173" fontId="0" fillId="4" borderId="8" xfId="0" applyNumberFormat="1" applyFill="1" applyBorder="1" applyAlignment="1">
      <alignment horizontal="center"/>
    </xf>
    <xf numFmtId="173" fontId="0" fillId="4" borderId="10" xfId="0" applyNumberFormat="1" applyFill="1" applyBorder="1" applyAlignment="1">
      <alignment horizontal="center"/>
    </xf>
    <xf numFmtId="173" fontId="0" fillId="4" borderId="11" xfId="0" applyNumberFormat="1" applyFill="1" applyBorder="1" applyAlignment="1">
      <alignment horizontal="center"/>
    </xf>
    <xf numFmtId="0" fontId="5" fillId="6" borderId="18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173" fontId="0" fillId="0" borderId="13" xfId="0" applyNumberFormat="1" applyBorder="1" applyAlignment="1">
      <alignment horizontal="center"/>
    </xf>
    <xf numFmtId="173" fontId="2" fillId="4" borderId="23" xfId="0" applyNumberFormat="1" applyFont="1" applyFill="1" applyBorder="1" applyAlignment="1">
      <alignment horizontal="center"/>
    </xf>
    <xf numFmtId="173" fontId="2" fillId="4" borderId="26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left" indent="4"/>
    </xf>
    <xf numFmtId="0" fontId="8" fillId="0" borderId="12" xfId="0" applyFont="1" applyBorder="1" applyAlignment="1">
      <alignment horizontal="left" indent="4"/>
    </xf>
    <xf numFmtId="0" fontId="8" fillId="0" borderId="19" xfId="0" applyFont="1" applyBorder="1" applyAlignment="1">
      <alignment horizontal="left" indent="4"/>
    </xf>
    <xf numFmtId="0" fontId="8" fillId="0" borderId="14" xfId="0" applyFont="1" applyBorder="1" applyAlignment="1">
      <alignment horizontal="left" indent="4"/>
    </xf>
    <xf numFmtId="0" fontId="8" fillId="0" borderId="20" xfId="0" applyFont="1" applyBorder="1" applyAlignment="1">
      <alignment horizontal="left" indent="4"/>
    </xf>
    <xf numFmtId="0" fontId="9" fillId="0" borderId="16" xfId="0" applyFont="1" applyBorder="1" applyAlignment="1">
      <alignment horizontal="left" indent="4"/>
    </xf>
    <xf numFmtId="0" fontId="9" fillId="0" borderId="18" xfId="0" applyFont="1" applyBorder="1" applyAlignment="1">
      <alignment horizontal="left" indent="4"/>
    </xf>
    <xf numFmtId="0" fontId="9" fillId="0" borderId="12" xfId="0" applyFont="1" applyBorder="1" applyAlignment="1">
      <alignment horizontal="left" indent="4"/>
    </xf>
    <xf numFmtId="0" fontId="9" fillId="0" borderId="19" xfId="0" applyFont="1" applyBorder="1" applyAlignment="1">
      <alignment horizontal="left" indent="4"/>
    </xf>
    <xf numFmtId="0" fontId="10" fillId="4" borderId="21" xfId="0" applyFont="1" applyFill="1" applyBorder="1" applyAlignment="1">
      <alignment horizontal="left" indent="4"/>
    </xf>
    <xf numFmtId="0" fontId="10" fillId="4" borderId="22" xfId="0" applyFont="1" applyFill="1" applyBorder="1" applyAlignment="1">
      <alignment horizontal="left" indent="4"/>
    </xf>
    <xf numFmtId="0" fontId="10" fillId="4" borderId="24" xfId="0" applyFont="1" applyFill="1" applyBorder="1" applyAlignment="1">
      <alignment horizontal="left" indent="4"/>
    </xf>
    <xf numFmtId="0" fontId="10" fillId="4" borderId="25" xfId="0" applyFont="1" applyFill="1" applyBorder="1" applyAlignment="1">
      <alignment horizontal="left" indent="4"/>
    </xf>
    <xf numFmtId="0" fontId="8" fillId="4" borderId="6" xfId="0" applyFont="1" applyFill="1" applyBorder="1" applyAlignment="1">
      <alignment horizontal="left" indent="4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0" fillId="7" borderId="0" xfId="0" applyFill="1"/>
    <xf numFmtId="173" fontId="2" fillId="5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173" fontId="0" fillId="0" borderId="0" xfId="0" applyNumberFormat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0" xfId="0" applyNumberFormat="1" applyAlignment="1"/>
    <xf numFmtId="9" fontId="0" fillId="0" borderId="4" xfId="0" applyNumberFormat="1" applyBorder="1" applyAlignment="1"/>
    <xf numFmtId="0" fontId="1" fillId="2" borderId="0" xfId="1"/>
    <xf numFmtId="0" fontId="0" fillId="7" borderId="4" xfId="0" applyFill="1" applyBorder="1"/>
    <xf numFmtId="0" fontId="0" fillId="7" borderId="0" xfId="0" applyFill="1" applyAlignment="1">
      <alignment horizontal="center"/>
    </xf>
    <xf numFmtId="9" fontId="0" fillId="7" borderId="0" xfId="0" applyNumberFormat="1" applyFill="1" applyAlignment="1"/>
    <xf numFmtId="10" fontId="1" fillId="2" borderId="0" xfId="1" applyNumberFormat="1"/>
    <xf numFmtId="0" fontId="11" fillId="9" borderId="0" xfId="0" applyFont="1" applyFill="1"/>
    <xf numFmtId="0" fontId="11" fillId="9" borderId="0" xfId="0" applyFont="1" applyFill="1" applyAlignment="1">
      <alignment horizontal="center"/>
    </xf>
    <xf numFmtId="0" fontId="0" fillId="9" borderId="0" xfId="0" applyFill="1"/>
    <xf numFmtId="0" fontId="12" fillId="6" borderId="16" xfId="0" applyFont="1" applyFill="1" applyBorder="1" applyAlignment="1">
      <alignment horizontal="center" vertical="center"/>
    </xf>
    <xf numFmtId="173" fontId="2" fillId="4" borderId="0" xfId="0" applyNumberFormat="1" applyFont="1" applyFill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DCAB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INVEST!$B$36:$B$41</c:f>
              <c:strCache>
                <c:ptCount val="6"/>
                <c:pt idx="0">
                  <c:v>PAPEL</c:v>
                </c:pt>
                <c:pt idx="1">
                  <c:v>TIOJOLO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0.1</c:v>
                </c:pt>
                <c:pt idx="4">
                  <c:v>0.05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1-4FD2-86B8-9BAAC43DA6A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368301</xdr:colOff>
      <xdr:row>2</xdr:row>
      <xdr:rowOff>55562</xdr:rowOff>
    </xdr:from>
    <xdr:to>
      <xdr:col>4</xdr:col>
      <xdr:colOff>20806</xdr:colOff>
      <xdr:row>7</xdr:row>
      <xdr:rowOff>150812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10068E-0205-03CA-4047-E8AF993291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380" r="1868" b="10023"/>
        <a:stretch>
          <a:fillRect/>
        </a:stretch>
      </xdr:blipFill>
      <xdr:spPr>
        <a:xfrm>
          <a:off x="368301" y="436562"/>
          <a:ext cx="6447005" cy="1047750"/>
        </a:xfrm>
        <a:prstGeom prst="rect">
          <a:avLst/>
        </a:prstGeom>
        <a:ln>
          <a:solidFill>
            <a:schemeClr val="accent3">
              <a:lumMod val="20000"/>
              <a:lumOff val="80000"/>
            </a:schemeClr>
          </a:solidFill>
        </a:ln>
      </xdr:spPr>
    </xdr:pic>
    <xdr:clientData/>
  </xdr:twoCellAnchor>
  <xdr:twoCellAnchor>
    <xdr:from>
      <xdr:col>1</xdr:col>
      <xdr:colOff>1016000</xdr:colOff>
      <xdr:row>42</xdr:row>
      <xdr:rowOff>182561</xdr:rowOff>
    </xdr:from>
    <xdr:to>
      <xdr:col>2</xdr:col>
      <xdr:colOff>2198689</xdr:colOff>
      <xdr:row>55</xdr:row>
      <xdr:rowOff>81754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5D460BE-11AF-45AD-BABC-1B9088399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957E-F172-481F-887B-0E4D1F3E86D7}">
  <dimension ref="A10:G66"/>
  <sheetViews>
    <sheetView showGridLines="0" tabSelected="1" zoomScale="120" zoomScaleNormal="120" workbookViewId="0">
      <selection activeCell="D49" sqref="D49"/>
    </sheetView>
  </sheetViews>
  <sheetFormatPr defaultColWidth="0" defaultRowHeight="15" x14ac:dyDescent="0.25"/>
  <cols>
    <col min="1" max="1" width="5.85546875" customWidth="1"/>
    <col min="2" max="2" width="38.7109375" customWidth="1"/>
    <col min="3" max="3" width="38.28515625" customWidth="1"/>
    <col min="4" max="4" width="19" customWidth="1"/>
    <col min="5" max="5" width="3.5703125" customWidth="1"/>
    <col min="6" max="7" width="4.28515625" customWidth="1"/>
    <col min="8" max="10" width="9.140625" hidden="1" customWidth="1"/>
    <col min="11" max="16384" width="9.140625" hidden="1"/>
  </cols>
  <sheetData>
    <row r="10" spans="2:7" ht="15.75" thickBot="1" x14ac:dyDescent="0.3"/>
    <row r="11" spans="2:7" ht="24" x14ac:dyDescent="0.25">
      <c r="B11" s="59" t="s">
        <v>15</v>
      </c>
      <c r="C11" s="19"/>
      <c r="D11" s="20"/>
    </row>
    <row r="12" spans="2:7" ht="15.75" x14ac:dyDescent="0.25">
      <c r="B12" s="26" t="s">
        <v>14</v>
      </c>
      <c r="C12" s="27"/>
      <c r="D12" s="21">
        <v>4200</v>
      </c>
    </row>
    <row r="13" spans="2:7" ht="15.75" x14ac:dyDescent="0.25">
      <c r="B13" s="26" t="s">
        <v>13</v>
      </c>
      <c r="C13" s="27"/>
      <c r="D13" s="9">
        <v>6.0000000000000001E-3</v>
      </c>
    </row>
    <row r="14" spans="2:7" ht="16.5" thickBot="1" x14ac:dyDescent="0.3">
      <c r="B14" s="28" t="s">
        <v>33</v>
      </c>
      <c r="C14" s="29"/>
      <c r="D14" s="14">
        <f>D12*30%</f>
        <v>1260</v>
      </c>
    </row>
    <row r="15" spans="2:7" ht="15.75" thickBot="1" x14ac:dyDescent="0.3"/>
    <row r="16" spans="2:7" s="3" customFormat="1" ht="33" customHeight="1" thickBot="1" x14ac:dyDescent="0.3">
      <c r="B16" s="7" t="s">
        <v>5</v>
      </c>
      <c r="C16" s="24"/>
      <c r="D16" s="8"/>
      <c r="G16"/>
    </row>
    <row r="17" spans="1:4" ht="15.75" x14ac:dyDescent="0.25">
      <c r="B17" s="30" t="s">
        <v>0</v>
      </c>
      <c r="C17" s="31"/>
      <c r="D17" s="10">
        <v>200</v>
      </c>
    </row>
    <row r="18" spans="1:4" ht="15.75" x14ac:dyDescent="0.25">
      <c r="B18" s="32" t="s">
        <v>1</v>
      </c>
      <c r="C18" s="33"/>
      <c r="D18" s="11">
        <v>5</v>
      </c>
    </row>
    <row r="19" spans="1:4" ht="15.75" x14ac:dyDescent="0.25">
      <c r="B19" s="32" t="s">
        <v>2</v>
      </c>
      <c r="C19" s="33"/>
      <c r="D19" s="12">
        <v>1.0789999999999999E-2</v>
      </c>
    </row>
    <row r="20" spans="1:4" ht="15.75" x14ac:dyDescent="0.25">
      <c r="B20" s="34" t="s">
        <v>3</v>
      </c>
      <c r="C20" s="35"/>
      <c r="D20" s="22">
        <f>FV(D19,D18*12,D17*-1)</f>
        <v>16755.382799697527</v>
      </c>
    </row>
    <row r="21" spans="1:4" ht="16.5" thickBot="1" x14ac:dyDescent="0.3">
      <c r="B21" s="36" t="s">
        <v>4</v>
      </c>
      <c r="C21" s="37"/>
      <c r="D21" s="23">
        <f>D20*D13</f>
        <v>100.53229679818516</v>
      </c>
    </row>
    <row r="22" spans="1:4" ht="15.75" thickBot="1" x14ac:dyDescent="0.3"/>
    <row r="23" spans="1:4" ht="26.25" x14ac:dyDescent="0.25">
      <c r="B23" s="39" t="s">
        <v>11</v>
      </c>
      <c r="C23" s="40"/>
      <c r="D23" s="13" t="s">
        <v>12</v>
      </c>
    </row>
    <row r="24" spans="1:4" ht="15.75" x14ac:dyDescent="0.25">
      <c r="A24" s="6">
        <v>2</v>
      </c>
      <c r="B24" s="38" t="s">
        <v>6</v>
      </c>
      <c r="C24" s="15">
        <f>FV($D$19,$A24*12,$D$17*-1)</f>
        <v>5445.5254595290435</v>
      </c>
      <c r="D24" s="16">
        <f>C24*$D$13</f>
        <v>32.673152757174265</v>
      </c>
    </row>
    <row r="25" spans="1:4" ht="15.75" x14ac:dyDescent="0.25">
      <c r="A25" s="6">
        <v>5</v>
      </c>
      <c r="B25" s="38" t="s">
        <v>7</v>
      </c>
      <c r="C25" s="15">
        <f>FV($D$19,$A25*12,$D$17*-1)</f>
        <v>16755.382799697527</v>
      </c>
      <c r="D25" s="16">
        <f>C25*$D$13</f>
        <v>100.53229679818516</v>
      </c>
    </row>
    <row r="26" spans="1:4" ht="15.75" x14ac:dyDescent="0.25">
      <c r="A26" s="6">
        <v>10</v>
      </c>
      <c r="B26" s="38" t="s">
        <v>8</v>
      </c>
      <c r="C26" s="15">
        <f>FV($D$19,$A26*12,$D$17*-1)</f>
        <v>48656.842506034438</v>
      </c>
      <c r="D26" s="16">
        <f>C26*$D$13</f>
        <v>291.94105503620665</v>
      </c>
    </row>
    <row r="27" spans="1:4" ht="15.75" x14ac:dyDescent="0.25">
      <c r="A27" s="6">
        <v>20</v>
      </c>
      <c r="B27" s="38" t="s">
        <v>9</v>
      </c>
      <c r="C27" s="15">
        <f>FV($D$19,$A27*12,$D$17*-1)</f>
        <v>225039.68001941612</v>
      </c>
      <c r="D27" s="16">
        <f>C27*$D$13</f>
        <v>1350.2380801164968</v>
      </c>
    </row>
    <row r="28" spans="1:4" ht="16.5" thickBot="1" x14ac:dyDescent="0.3">
      <c r="A28" s="6">
        <v>30</v>
      </c>
      <c r="B28" s="25" t="s">
        <v>10</v>
      </c>
      <c r="C28" s="17">
        <f>FV($D$19,$A28*12,$D$17*-1)</f>
        <v>864433.93100094295</v>
      </c>
      <c r="D28" s="18">
        <f>C28*$D$13</f>
        <v>5186.6035860056581</v>
      </c>
    </row>
    <row r="32" spans="1:4" x14ac:dyDescent="0.25">
      <c r="B32" s="56" t="s">
        <v>20</v>
      </c>
      <c r="C32" s="57" t="s">
        <v>18</v>
      </c>
      <c r="D32" s="58"/>
    </row>
    <row r="33" spans="2:4" x14ac:dyDescent="0.25">
      <c r="B33" s="1" t="s">
        <v>19</v>
      </c>
      <c r="C33" s="42">
        <f>D17</f>
        <v>200</v>
      </c>
      <c r="D33" s="5"/>
    </row>
    <row r="35" spans="2:4" x14ac:dyDescent="0.25">
      <c r="B35" s="44" t="s">
        <v>21</v>
      </c>
      <c r="C35" s="45" t="s">
        <v>22</v>
      </c>
      <c r="D35" s="45" t="s">
        <v>23</v>
      </c>
    </row>
    <row r="36" spans="2:4" x14ac:dyDescent="0.25">
      <c r="B36" s="2" t="s">
        <v>24</v>
      </c>
      <c r="C36" s="43">
        <f>VLOOKUP($C$32&amp;"-"&amp;B36,Planilha2!$A:$D,4,FALSE)</f>
        <v>0.32</v>
      </c>
      <c r="D36" s="46">
        <f>C36*$C$33</f>
        <v>64</v>
      </c>
    </row>
    <row r="37" spans="2:4" x14ac:dyDescent="0.25">
      <c r="B37" s="2" t="s">
        <v>25</v>
      </c>
      <c r="C37" s="43">
        <f>VLOOKUP($C$32&amp;"-"&amp;B37,Planilha2!$A:$D,4,FALSE)</f>
        <v>0.35</v>
      </c>
      <c r="D37" s="46">
        <f t="shared" ref="D37:D41" si="0">C37*$C$33</f>
        <v>70</v>
      </c>
    </row>
    <row r="38" spans="2:4" x14ac:dyDescent="0.25">
      <c r="B38" s="2" t="s">
        <v>26</v>
      </c>
      <c r="C38" s="43">
        <f>VLOOKUP($C$32&amp;"-"&amp;B38,Planilha2!$A:$D,4,FALSE)</f>
        <v>0.08</v>
      </c>
      <c r="D38" s="46">
        <f t="shared" si="0"/>
        <v>16</v>
      </c>
    </row>
    <row r="39" spans="2:4" x14ac:dyDescent="0.25">
      <c r="B39" s="2" t="s">
        <v>27</v>
      </c>
      <c r="C39" s="43">
        <f>VLOOKUP($C$32&amp;"-"&amp;B39,Planilha2!$A:$D,4,FALSE)</f>
        <v>0.1</v>
      </c>
      <c r="D39" s="46">
        <f t="shared" si="0"/>
        <v>20</v>
      </c>
    </row>
    <row r="40" spans="2:4" x14ac:dyDescent="0.25">
      <c r="B40" s="2" t="s">
        <v>28</v>
      </c>
      <c r="C40" s="43">
        <f>VLOOKUP($C$32&amp;"-"&amp;B40,Planilha2!$A:$D,4,FALSE)</f>
        <v>0.05</v>
      </c>
      <c r="D40" s="46">
        <f t="shared" si="0"/>
        <v>10</v>
      </c>
    </row>
    <row r="41" spans="2:4" x14ac:dyDescent="0.25">
      <c r="B41" s="2" t="s">
        <v>29</v>
      </c>
      <c r="C41" s="43">
        <f>VLOOKUP($C$32&amp;"-"&amp;B41,Planilha2!$A:$D,4,FALSE)</f>
        <v>0.1</v>
      </c>
      <c r="D41" s="46">
        <f t="shared" si="0"/>
        <v>20</v>
      </c>
    </row>
    <row r="42" spans="2:4" x14ac:dyDescent="0.25">
      <c r="B42" s="4"/>
      <c r="C42" s="4"/>
      <c r="D42" s="60">
        <f>SUM(D36:E41)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</sheetData>
  <mergeCells count="11">
    <mergeCell ref="B18:C18"/>
    <mergeCell ref="B19:C19"/>
    <mergeCell ref="B20:C20"/>
    <mergeCell ref="B21:C21"/>
    <mergeCell ref="B16:D16"/>
    <mergeCell ref="B23:C23"/>
    <mergeCell ref="B11:D11"/>
    <mergeCell ref="B12:C12"/>
    <mergeCell ref="B13:C13"/>
    <mergeCell ref="B14:C14"/>
    <mergeCell ref="B17:C17"/>
  </mergeCells>
  <dataValidations count="1">
    <dataValidation type="list" allowBlank="1" showInputMessage="1" showErrorMessage="1" sqref="C32" xr:uid="{E302A953-2AA1-4A47-82A7-6A71C5CCBB5A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AD5F-7587-4112-ABC1-D1E6BFB05577}">
  <dimension ref="A2:H20"/>
  <sheetViews>
    <sheetView showGridLines="0" workbookViewId="0">
      <selection activeCell="F22" sqref="F22"/>
    </sheetView>
  </sheetViews>
  <sheetFormatPr defaultRowHeight="15" x14ac:dyDescent="0.25"/>
  <cols>
    <col min="1" max="1" width="33" bestFit="1" customWidth="1"/>
    <col min="2" max="2" width="14.42578125" bestFit="1" customWidth="1"/>
    <col min="3" max="3" width="18.5703125" bestFit="1" customWidth="1"/>
    <col min="7" max="7" width="19.7109375" bestFit="1" customWidth="1"/>
  </cols>
  <sheetData>
    <row r="2" spans="1:8" x14ac:dyDescent="0.25">
      <c r="A2" t="s">
        <v>31</v>
      </c>
      <c r="B2" t="s">
        <v>20</v>
      </c>
      <c r="C2" s="2" t="s">
        <v>21</v>
      </c>
      <c r="D2" s="2" t="s">
        <v>30</v>
      </c>
    </row>
    <row r="3" spans="1:8" x14ac:dyDescent="0.25">
      <c r="A3" t="str">
        <f>B3&amp;"-"&amp;C3</f>
        <v>CONSERVADOR-PAPEL</v>
      </c>
      <c r="B3" t="s">
        <v>17</v>
      </c>
      <c r="C3" s="2" t="s">
        <v>24</v>
      </c>
      <c r="D3" s="49">
        <v>0.3</v>
      </c>
      <c r="H3" t="s">
        <v>30</v>
      </c>
    </row>
    <row r="4" spans="1:8" x14ac:dyDescent="0.25">
      <c r="A4" t="str">
        <f t="shared" ref="A4:A20" si="0">B4&amp;"-"&amp;C4</f>
        <v>CONSERVADOR-TIOJOLO</v>
      </c>
      <c r="B4" t="s">
        <v>17</v>
      </c>
      <c r="C4" s="2" t="s">
        <v>25</v>
      </c>
      <c r="D4" s="49">
        <v>0.5</v>
      </c>
      <c r="G4" s="51" t="s">
        <v>32</v>
      </c>
      <c r="H4" s="55">
        <f>VLOOKUP(G4,$A$1:$D$20,4,FALSE)</f>
        <v>0.35</v>
      </c>
    </row>
    <row r="5" spans="1:8" x14ac:dyDescent="0.25">
      <c r="A5" t="str">
        <f t="shared" si="0"/>
        <v>CONSERVADOR-HIBRIDOS</v>
      </c>
      <c r="B5" t="s">
        <v>17</v>
      </c>
      <c r="C5" s="2" t="s">
        <v>26</v>
      </c>
      <c r="D5" s="49">
        <v>0.1</v>
      </c>
    </row>
    <row r="6" spans="1:8" x14ac:dyDescent="0.25">
      <c r="A6" t="str">
        <f t="shared" si="0"/>
        <v>CONSERVADOR-FOFs</v>
      </c>
      <c r="B6" t="s">
        <v>17</v>
      </c>
      <c r="C6" s="2" t="s">
        <v>27</v>
      </c>
      <c r="D6" s="49">
        <v>0.1</v>
      </c>
    </row>
    <row r="7" spans="1:8" x14ac:dyDescent="0.25">
      <c r="A7" t="str">
        <f t="shared" si="0"/>
        <v>CONSERVADOR-DESENVOLVIMENTO</v>
      </c>
      <c r="B7" t="s">
        <v>17</v>
      </c>
      <c r="C7" s="2" t="s">
        <v>28</v>
      </c>
      <c r="D7" s="49">
        <v>0</v>
      </c>
    </row>
    <row r="8" spans="1:8" ht="15.75" thickBot="1" x14ac:dyDescent="0.3">
      <c r="A8" s="47" t="str">
        <f t="shared" si="0"/>
        <v>CONSERVADOR-HOTELARIAS</v>
      </c>
      <c r="B8" s="47" t="s">
        <v>17</v>
      </c>
      <c r="C8" s="48" t="s">
        <v>29</v>
      </c>
      <c r="D8" s="50">
        <v>0</v>
      </c>
    </row>
    <row r="9" spans="1:8" ht="15.75" thickBot="1" x14ac:dyDescent="0.3">
      <c r="A9" s="47" t="str">
        <f t="shared" si="0"/>
        <v>MODERADO-PAPEL</v>
      </c>
      <c r="B9" t="s">
        <v>18</v>
      </c>
      <c r="C9" s="2" t="s">
        <v>24</v>
      </c>
      <c r="D9" s="49">
        <v>0.32</v>
      </c>
    </row>
    <row r="10" spans="1:8" ht="15.75" thickBot="1" x14ac:dyDescent="0.3">
      <c r="A10" s="52" t="str">
        <f t="shared" si="0"/>
        <v>MODERADO-TIOJOLO</v>
      </c>
      <c r="B10" s="41" t="s">
        <v>18</v>
      </c>
      <c r="C10" s="53" t="s">
        <v>25</v>
      </c>
      <c r="D10" s="54">
        <v>0.35</v>
      </c>
    </row>
    <row r="11" spans="1:8" ht="15.75" thickBot="1" x14ac:dyDescent="0.3">
      <c r="A11" s="47" t="str">
        <f t="shared" si="0"/>
        <v>MODERADO-HIBRIDOS</v>
      </c>
      <c r="B11" t="s">
        <v>18</v>
      </c>
      <c r="C11" s="2" t="s">
        <v>26</v>
      </c>
      <c r="D11" s="49">
        <v>0.08</v>
      </c>
    </row>
    <row r="12" spans="1:8" ht="15.75" thickBot="1" x14ac:dyDescent="0.3">
      <c r="A12" s="47" t="str">
        <f t="shared" si="0"/>
        <v>MODERADO-FOFs</v>
      </c>
      <c r="B12" t="s">
        <v>18</v>
      </c>
      <c r="C12" s="2" t="s">
        <v>27</v>
      </c>
      <c r="D12" s="49">
        <v>0.1</v>
      </c>
    </row>
    <row r="13" spans="1:8" ht="15.75" thickBot="1" x14ac:dyDescent="0.3">
      <c r="A13" s="47" t="str">
        <f t="shared" si="0"/>
        <v>MODERADO-DESENVOLVIMENTO</v>
      </c>
      <c r="B13" t="s">
        <v>18</v>
      </c>
      <c r="C13" s="2" t="s">
        <v>28</v>
      </c>
      <c r="D13" s="49">
        <v>0.05</v>
      </c>
    </row>
    <row r="14" spans="1:8" ht="15.75" thickBot="1" x14ac:dyDescent="0.3">
      <c r="A14" s="47" t="str">
        <f t="shared" si="0"/>
        <v>MODERADO-HOTELARIAS</v>
      </c>
      <c r="B14" s="47" t="s">
        <v>18</v>
      </c>
      <c r="C14" s="48" t="s">
        <v>29</v>
      </c>
      <c r="D14" s="50">
        <v>0.1</v>
      </c>
    </row>
    <row r="15" spans="1:8" ht="15.75" thickBot="1" x14ac:dyDescent="0.3">
      <c r="A15" s="47" t="str">
        <f t="shared" si="0"/>
        <v>AGRESSIVO-PAPEL</v>
      </c>
      <c r="B15" t="s">
        <v>16</v>
      </c>
      <c r="C15" s="2" t="s">
        <v>24</v>
      </c>
      <c r="D15" s="49">
        <v>0.5</v>
      </c>
    </row>
    <row r="16" spans="1:8" ht="15.75" thickBot="1" x14ac:dyDescent="0.3">
      <c r="A16" s="47" t="str">
        <f t="shared" si="0"/>
        <v>AGRESSIVO-TIOJOLO</v>
      </c>
      <c r="B16" t="s">
        <v>16</v>
      </c>
      <c r="C16" s="2" t="s">
        <v>25</v>
      </c>
      <c r="D16" s="49">
        <v>0.1</v>
      </c>
    </row>
    <row r="17" spans="1:4" ht="15.75" thickBot="1" x14ac:dyDescent="0.3">
      <c r="A17" s="47" t="str">
        <f t="shared" si="0"/>
        <v>AGRESSIVO-HIBRIDOS</v>
      </c>
      <c r="B17" t="s">
        <v>16</v>
      </c>
      <c r="C17" s="2" t="s">
        <v>26</v>
      </c>
      <c r="D17" s="49">
        <v>0.05</v>
      </c>
    </row>
    <row r="18" spans="1:4" ht="15.75" thickBot="1" x14ac:dyDescent="0.3">
      <c r="A18" s="47" t="str">
        <f t="shared" si="0"/>
        <v>AGRESSIVO-FOFs</v>
      </c>
      <c r="B18" t="s">
        <v>16</v>
      </c>
      <c r="C18" s="2" t="s">
        <v>27</v>
      </c>
      <c r="D18" s="49">
        <v>0.05</v>
      </c>
    </row>
    <row r="19" spans="1:4" ht="15.75" thickBot="1" x14ac:dyDescent="0.3">
      <c r="A19" s="47" t="str">
        <f t="shared" si="0"/>
        <v>AGRESSIVO-DESENVOLVIMENTO</v>
      </c>
      <c r="B19" t="s">
        <v>16</v>
      </c>
      <c r="C19" s="2" t="s">
        <v>28</v>
      </c>
      <c r="D19" s="49">
        <v>0.2</v>
      </c>
    </row>
    <row r="20" spans="1:4" ht="15.75" thickBot="1" x14ac:dyDescent="0.3">
      <c r="A20" s="47" t="str">
        <f t="shared" si="0"/>
        <v>AGRESSIVO-HOTELARIAS</v>
      </c>
      <c r="B20" t="s">
        <v>16</v>
      </c>
      <c r="C20" s="2" t="s">
        <v>29</v>
      </c>
      <c r="D20" s="4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INVEST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Andrea.sya.9@hotmail.com</dc:creator>
  <cp:lastModifiedBy>Andrea.sya.9@hotmail.com</cp:lastModifiedBy>
  <dcterms:created xsi:type="dcterms:W3CDTF">2026-10-10T16:43:59Z</dcterms:created>
  <dcterms:modified xsi:type="dcterms:W3CDTF">2026-10-10T20:40:30Z</dcterms:modified>
</cp:coreProperties>
</file>